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Consolidado" sheetId="1" state="visible" r:id="rId1"/>
    <sheet xmlns:r="http://schemas.openxmlformats.org/officeDocument/2006/relationships" name="Resumen_Ejecu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"/>
    <numFmt numFmtId="166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5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4" fillId="0" borderId="1" pivotButton="0" quotePrefix="0" xfId="0"/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2" customWidth="1" min="4" max="4"/>
    <col width="12" customWidth="1" min="5" max="5"/>
    <col width="16" customWidth="1" min="6" max="6"/>
    <col width="32" customWidth="1" min="7" max="7"/>
    <col width="17" customWidth="1" min="8" max="8"/>
    <col width="20" customWidth="1" min="9" max="9"/>
    <col width="27" customWidth="1" min="10" max="10"/>
    <col width="17" customWidth="1" min="11" max="11"/>
    <col width="14" customWidth="1" min="12" max="12"/>
    <col width="16" customWidth="1" min="13" max="13"/>
    <col width="18" customWidth="1" min="14" max="14"/>
    <col width="22" customWidth="1" min="15" max="15"/>
    <col width="18" customWidth="1" min="16" max="16"/>
    <col width="19" customWidth="1" min="17" max="17"/>
    <col width="15" customWidth="1" min="18" max="18"/>
    <col width="21" customWidth="1" min="19" max="19"/>
    <col width="19" customWidth="1" min="20" max="20"/>
    <col width="25" customWidth="1" min="21" max="21"/>
    <col width="24" customWidth="1" min="22" max="22"/>
  </cols>
  <sheetData>
    <row r="1">
      <c r="A1" s="1" t="inlineStr">
        <is>
          <t>Dataset Consolidado de Talent Hub (20 Registros)</t>
        </is>
      </c>
    </row>
    <row r="2">
      <c r="A2" s="2" t="inlineStr">
        <is>
          <t>Dataset Demo - Talent Hub Analytics</t>
        </is>
      </c>
    </row>
    <row r="3"/>
    <row r="4">
      <c r="A4" s="3" t="inlineStr">
        <is>
          <t>ID_Empleado</t>
        </is>
      </c>
      <c r="B4" s="3" t="inlineStr">
        <is>
          <t>Nombre</t>
        </is>
      </c>
      <c r="C4" s="3" t="inlineStr">
        <is>
          <t>Apellido</t>
        </is>
      </c>
      <c r="D4" s="3" t="inlineStr">
        <is>
          <t>Edad</t>
        </is>
      </c>
      <c r="E4" s="3" t="inlineStr">
        <is>
          <t>Genero</t>
        </is>
      </c>
      <c r="F4" s="3" t="inlineStr">
        <is>
          <t>Ciudad</t>
        </is>
      </c>
      <c r="G4" s="3" t="inlineStr">
        <is>
          <t>Email</t>
        </is>
      </c>
      <c r="H4" s="3" t="inlineStr">
        <is>
          <t>Fecha_Ingreso</t>
        </is>
      </c>
      <c r="I4" s="3" t="inlineStr">
        <is>
          <t>Departamento</t>
        </is>
      </c>
      <c r="J4" s="3" t="inlineStr">
        <is>
          <t>Cargo</t>
        </is>
      </c>
      <c r="K4" s="3" t="inlineStr">
        <is>
          <t>Tipo_Contrato</t>
        </is>
      </c>
      <c r="L4" s="3" t="inlineStr">
        <is>
          <t>Modalidad</t>
        </is>
      </c>
      <c r="M4" s="3" t="inlineStr">
        <is>
          <t>Salario_Base</t>
        </is>
      </c>
      <c r="N4" s="3" t="inlineStr">
        <is>
          <t>Bono_Desempeno</t>
        </is>
      </c>
      <c r="O4" s="3" t="inlineStr">
        <is>
          <t>Auxilio_Transporte</t>
        </is>
      </c>
      <c r="P4" s="3" t="inlineStr">
        <is>
          <t>Descuentos_Ley</t>
        </is>
      </c>
      <c r="Q4" s="3" t="inlineStr">
        <is>
          <t>Total_Devengado</t>
        </is>
      </c>
      <c r="R4" s="3" t="inlineStr">
        <is>
          <t>Neto_Pagar</t>
        </is>
      </c>
      <c r="S4" s="3" t="inlineStr">
        <is>
          <t>Anios_Experiencia</t>
        </is>
      </c>
      <c r="T4" s="3" t="inlineStr">
        <is>
          <t>Nivel_Educativo</t>
        </is>
      </c>
      <c r="U4" s="3" t="inlineStr">
        <is>
          <t>Proyectos_Completados</t>
        </is>
      </c>
      <c r="V4" s="3" t="inlineStr">
        <is>
          <t>Evaluacion_Desempeno</t>
        </is>
      </c>
    </row>
    <row r="5">
      <c r="A5" s="4" t="inlineStr">
        <is>
          <t>EMP-101</t>
        </is>
      </c>
      <c r="B5" s="5" t="inlineStr">
        <is>
          <t>Carlos</t>
        </is>
      </c>
      <c r="C5" s="5" t="inlineStr">
        <is>
          <t>Gomez</t>
        </is>
      </c>
      <c r="D5" s="6" t="n">
        <v>28</v>
      </c>
      <c r="E5" s="5" t="inlineStr">
        <is>
          <t>M</t>
        </is>
      </c>
      <c r="F5" s="5" t="inlineStr">
        <is>
          <t>Bogotá</t>
        </is>
      </c>
      <c r="G5" s="5" t="inlineStr">
        <is>
          <t>carlos.gomez@empresa.com</t>
        </is>
      </c>
      <c r="H5" s="7" t="inlineStr">
        <is>
          <t>2021-03-15</t>
        </is>
      </c>
      <c r="I5" s="5" t="inlineStr">
        <is>
          <t>Tecnología</t>
        </is>
      </c>
      <c r="J5" s="5" t="inlineStr">
        <is>
          <t>Desarrollador Senior</t>
        </is>
      </c>
      <c r="K5" s="5" t="inlineStr">
        <is>
          <t>Indefinido</t>
        </is>
      </c>
      <c r="L5" s="5" t="inlineStr">
        <is>
          <t>Híbrido</t>
        </is>
      </c>
      <c r="M5" s="8" t="n">
        <v>7500000</v>
      </c>
      <c r="N5" s="8" t="n">
        <v>800000</v>
      </c>
      <c r="O5" s="8" t="n">
        <v>200000</v>
      </c>
      <c r="P5" s="8" t="n">
        <v>600000</v>
      </c>
      <c r="Q5" s="8" t="n">
        <v>8500000</v>
      </c>
      <c r="R5" s="8" t="n">
        <v>7900000</v>
      </c>
      <c r="S5" s="6" t="n">
        <v>7</v>
      </c>
      <c r="T5" s="5" t="inlineStr">
        <is>
          <t>Profesional</t>
        </is>
      </c>
      <c r="U5" s="6" t="n">
        <v>12</v>
      </c>
      <c r="V5" s="9" t="n">
        <v>4.8</v>
      </c>
    </row>
    <row r="6">
      <c r="A6" s="10" t="inlineStr">
        <is>
          <t>EMP-102</t>
        </is>
      </c>
      <c r="B6" s="11" t="inlineStr">
        <is>
          <t>Ana</t>
        </is>
      </c>
      <c r="C6" s="11" t="inlineStr">
        <is>
          <t>Rodriguez</t>
        </is>
      </c>
      <c r="D6" s="12" t="n">
        <v>34</v>
      </c>
      <c r="E6" s="11" t="inlineStr">
        <is>
          <t>F</t>
        </is>
      </c>
      <c r="F6" s="11" t="inlineStr">
        <is>
          <t>Medellín</t>
        </is>
      </c>
      <c r="G6" s="11" t="inlineStr">
        <is>
          <t>ana.rodriguez@empresa.com</t>
        </is>
      </c>
      <c r="H6" s="13" t="inlineStr">
        <is>
          <t>2019-06-01</t>
        </is>
      </c>
      <c r="I6" s="11" t="inlineStr">
        <is>
          <t>Ventas</t>
        </is>
      </c>
      <c r="J6" s="11" t="inlineStr">
        <is>
          <t>Ejecutivo de Ventas</t>
        </is>
      </c>
      <c r="K6" s="11" t="inlineStr">
        <is>
          <t>Indefinido</t>
        </is>
      </c>
      <c r="L6" s="11" t="inlineStr">
        <is>
          <t>Presencial</t>
        </is>
      </c>
      <c r="M6" s="14" t="n">
        <v>4200000</v>
      </c>
      <c r="N6" s="14" t="n">
        <v>1200000</v>
      </c>
      <c r="O6" s="14" t="n">
        <v>200000</v>
      </c>
      <c r="P6" s="14" t="n">
        <v>336000</v>
      </c>
      <c r="Q6" s="14" t="n">
        <v>5600000</v>
      </c>
      <c r="R6" s="14" t="n">
        <v>5264000</v>
      </c>
      <c r="S6" s="12" t="n">
        <v>10</v>
      </c>
      <c r="T6" s="11" t="inlineStr">
        <is>
          <t>Profesional</t>
        </is>
      </c>
      <c r="U6" s="12" t="n">
        <v>8</v>
      </c>
      <c r="V6" s="15" t="n">
        <v>4.2</v>
      </c>
    </row>
    <row r="7">
      <c r="A7" s="4" t="inlineStr">
        <is>
          <t>EMP-103</t>
        </is>
      </c>
      <c r="B7" s="5" t="inlineStr">
        <is>
          <t>Luis</t>
        </is>
      </c>
      <c r="C7" s="5" t="inlineStr">
        <is>
          <t>Martinez</t>
        </is>
      </c>
      <c r="D7" s="6" t="n">
        <v>41</v>
      </c>
      <c r="E7" s="5" t="inlineStr">
        <is>
          <t>M</t>
        </is>
      </c>
      <c r="F7" s="5" t="inlineStr">
        <is>
          <t>Cali</t>
        </is>
      </c>
      <c r="G7" s="5" t="inlineStr">
        <is>
          <t>luis.martinez@empresa.com</t>
        </is>
      </c>
      <c r="H7" s="7" t="inlineStr">
        <is>
          <t>2018-01-10</t>
        </is>
      </c>
      <c r="I7" s="5" t="inlineStr">
        <is>
          <t>Finanzas</t>
        </is>
      </c>
      <c r="J7" s="5" t="inlineStr">
        <is>
          <t>Analista Financiero</t>
        </is>
      </c>
      <c r="K7" s="5" t="inlineStr">
        <is>
          <t>Indefinido</t>
        </is>
      </c>
      <c r="L7" s="5" t="inlineStr">
        <is>
          <t>Híbrido</t>
        </is>
      </c>
      <c r="M7" s="8" t="n">
        <v>5100000</v>
      </c>
      <c r="N7" s="8" t="n">
        <v>500000</v>
      </c>
      <c r="O7" s="8" t="n">
        <v>200000</v>
      </c>
      <c r="P7" s="8" t="n">
        <v>408000</v>
      </c>
      <c r="Q7" s="8" t="n">
        <v>5800000</v>
      </c>
      <c r="R7" s="8" t="n">
        <v>5392000</v>
      </c>
      <c r="S7" s="6" t="n">
        <v>12</v>
      </c>
      <c r="T7" s="5" t="inlineStr">
        <is>
          <t>Especialización</t>
        </is>
      </c>
      <c r="U7" s="6" t="n">
        <v>15</v>
      </c>
      <c r="V7" s="9" t="n">
        <v>4.5</v>
      </c>
    </row>
    <row r="8">
      <c r="A8" s="10" t="inlineStr">
        <is>
          <t>EMP-104</t>
        </is>
      </c>
      <c r="B8" s="11" t="inlineStr">
        <is>
          <t>Maria</t>
        </is>
      </c>
      <c r="C8" s="11" t="inlineStr">
        <is>
          <t>Lopez</t>
        </is>
      </c>
      <c r="D8" s="12" t="n">
        <v>25</v>
      </c>
      <c r="E8" s="11" t="inlineStr">
        <is>
          <t>F</t>
        </is>
      </c>
      <c r="F8" s="11" t="inlineStr">
        <is>
          <t>Barranquilla</t>
        </is>
      </c>
      <c r="G8" s="11" t="inlineStr">
        <is>
          <t>maria.lopez@empresa.com</t>
        </is>
      </c>
      <c r="H8" s="13" t="inlineStr">
        <is>
          <t>2022-08-20</t>
        </is>
      </c>
      <c r="I8" s="11" t="inlineStr">
        <is>
          <t>Marketing</t>
        </is>
      </c>
      <c r="J8" s="11" t="inlineStr">
        <is>
          <t>Especialista SEO</t>
        </is>
      </c>
      <c r="K8" s="11" t="inlineStr">
        <is>
          <t>Termino Fijo</t>
        </is>
      </c>
      <c r="L8" s="11" t="inlineStr">
        <is>
          <t>Remoto</t>
        </is>
      </c>
      <c r="M8" s="14" t="n">
        <v>3200000</v>
      </c>
      <c r="N8" s="14" t="n">
        <v>300000</v>
      </c>
      <c r="O8" s="14" t="n">
        <v>160000</v>
      </c>
      <c r="P8" s="14" t="n">
        <v>256000</v>
      </c>
      <c r="Q8" s="14" t="n">
        <v>3660000</v>
      </c>
      <c r="R8" s="14" t="n">
        <v>3404000</v>
      </c>
      <c r="S8" s="12" t="n">
        <v>3</v>
      </c>
      <c r="T8" s="11" t="inlineStr">
        <is>
          <t>Profesional</t>
        </is>
      </c>
      <c r="U8" s="12" t="n">
        <v>5</v>
      </c>
      <c r="V8" s="15" t="n">
        <v>3.9</v>
      </c>
    </row>
    <row r="9">
      <c r="A9" s="4" t="inlineStr">
        <is>
          <t>EMP-105</t>
        </is>
      </c>
      <c r="B9" s="5" t="inlineStr">
        <is>
          <t>Jorge</t>
        </is>
      </c>
      <c r="C9" s="5" t="inlineStr">
        <is>
          <t>Perez</t>
        </is>
      </c>
      <c r="D9" s="6" t="n">
        <v>39</v>
      </c>
      <c r="E9" s="5" t="inlineStr">
        <is>
          <t>M</t>
        </is>
      </c>
      <c r="F9" s="5" t="inlineStr">
        <is>
          <t>Bogotá</t>
        </is>
      </c>
      <c r="G9" s="5" t="inlineStr">
        <is>
          <t>jorge.perez@empresa.com</t>
        </is>
      </c>
      <c r="H9" s="7" t="inlineStr">
        <is>
          <t>2020-11-05</t>
        </is>
      </c>
      <c r="I9" s="5" t="inlineStr">
        <is>
          <t>Tecnología</t>
        </is>
      </c>
      <c r="J9" s="5" t="inlineStr">
        <is>
          <t>Líder Técnico</t>
        </is>
      </c>
      <c r="K9" s="5" t="inlineStr">
        <is>
          <t>Indefinido</t>
        </is>
      </c>
      <c r="L9" s="5" t="inlineStr">
        <is>
          <t>Remoto</t>
        </is>
      </c>
      <c r="M9" s="8" t="n">
        <v>9500000</v>
      </c>
      <c r="N9" s="8" t="n">
        <v>1500000</v>
      </c>
      <c r="O9" s="8" t="n">
        <v>200000</v>
      </c>
      <c r="P9" s="8" t="n">
        <v>760000</v>
      </c>
      <c r="Q9" s="8" t="n">
        <v>11200000</v>
      </c>
      <c r="R9" s="8" t="n">
        <v>10440000</v>
      </c>
      <c r="S9" s="6" t="n">
        <v>11</v>
      </c>
      <c r="T9" s="5" t="inlineStr">
        <is>
          <t>Maestría</t>
        </is>
      </c>
      <c r="U9" s="6" t="n">
        <v>18</v>
      </c>
      <c r="V9" s="9" t="n">
        <v>4.9</v>
      </c>
    </row>
    <row r="10">
      <c r="A10" s="10" t="inlineStr">
        <is>
          <t>EMP-106</t>
        </is>
      </c>
      <c r="B10" s="11" t="inlineStr">
        <is>
          <t>Laura</t>
        </is>
      </c>
      <c r="C10" s="11" t="inlineStr">
        <is>
          <t>Sanchez</t>
        </is>
      </c>
      <c r="D10" s="12" t="n">
        <v>29</v>
      </c>
      <c r="E10" s="11" t="inlineStr">
        <is>
          <t>F</t>
        </is>
      </c>
      <c r="F10" s="11" t="inlineStr">
        <is>
          <t>Bucaramanga</t>
        </is>
      </c>
      <c r="G10" s="11" t="inlineStr">
        <is>
          <t>laura.sanchez@empresa.com</t>
        </is>
      </c>
      <c r="H10" s="13" t="inlineStr">
        <is>
          <t>2021-01-18</t>
        </is>
      </c>
      <c r="I10" s="11" t="inlineStr">
        <is>
          <t>Recursos Humanos</t>
        </is>
      </c>
      <c r="J10" s="11" t="inlineStr">
        <is>
          <t>Generalista RH</t>
        </is>
      </c>
      <c r="K10" s="11" t="inlineStr">
        <is>
          <t>Indefinido</t>
        </is>
      </c>
      <c r="L10" s="11" t="inlineStr">
        <is>
          <t>Presencial</t>
        </is>
      </c>
      <c r="M10" s="14" t="n">
        <v>3800000</v>
      </c>
      <c r="N10" s="14" t="n">
        <v>400000</v>
      </c>
      <c r="O10" s="14" t="n">
        <v>200000</v>
      </c>
      <c r="P10" s="14" t="n">
        <v>304000</v>
      </c>
      <c r="Q10" s="14" t="n">
        <v>4400000</v>
      </c>
      <c r="R10" s="14" t="n">
        <v>4096000</v>
      </c>
      <c r="S10" s="12" t="n">
        <v>6</v>
      </c>
      <c r="T10" s="11" t="inlineStr">
        <is>
          <t>Profesional</t>
        </is>
      </c>
      <c r="U10" s="12" t="n">
        <v>7</v>
      </c>
      <c r="V10" s="15" t="n">
        <v>4.1</v>
      </c>
    </row>
    <row r="11">
      <c r="A11" s="4" t="inlineStr">
        <is>
          <t>EMP-107</t>
        </is>
      </c>
      <c r="B11" s="5" t="inlineStr">
        <is>
          <t>Diego</t>
        </is>
      </c>
      <c r="C11" s="5" t="inlineStr">
        <is>
          <t>Ramirez</t>
        </is>
      </c>
      <c r="D11" s="6" t="n">
        <v>31</v>
      </c>
      <c r="E11" s="5" t="inlineStr">
        <is>
          <t>M</t>
        </is>
      </c>
      <c r="F11" s="5" t="inlineStr">
        <is>
          <t>Medellín</t>
        </is>
      </c>
      <c r="G11" s="5" t="inlineStr">
        <is>
          <t>diego.ramirez@empresa.com</t>
        </is>
      </c>
      <c r="H11" s="7" t="inlineStr">
        <is>
          <t>2020-04-12</t>
        </is>
      </c>
      <c r="I11" s="5" t="inlineStr">
        <is>
          <t>Ventas</t>
        </is>
      </c>
      <c r="J11" s="5" t="inlineStr">
        <is>
          <t>Coordinador Comercial</t>
        </is>
      </c>
      <c r="K11" s="5" t="inlineStr">
        <is>
          <t>Indefinido</t>
        </is>
      </c>
      <c r="L11" s="5" t="inlineStr">
        <is>
          <t>Presencial</t>
        </is>
      </c>
      <c r="M11" s="8" t="n">
        <v>4800000</v>
      </c>
      <c r="N11" s="8" t="n">
        <v>900000</v>
      </c>
      <c r="O11" s="8" t="n">
        <v>200000</v>
      </c>
      <c r="P11" s="8" t="n">
        <v>384000</v>
      </c>
      <c r="Q11" s="8" t="n">
        <v>5900000</v>
      </c>
      <c r="R11" s="8" t="n">
        <v>5516000</v>
      </c>
      <c r="S11" s="6" t="n">
        <v>8</v>
      </c>
      <c r="T11" s="5" t="inlineStr">
        <is>
          <t>Profesional</t>
        </is>
      </c>
      <c r="U11" s="6" t="n">
        <v>10</v>
      </c>
      <c r="V11" s="9" t="n">
        <v>4.4</v>
      </c>
    </row>
    <row r="12">
      <c r="A12" s="10" t="inlineStr">
        <is>
          <t>EMP-108</t>
        </is>
      </c>
      <c r="B12" s="11" t="inlineStr">
        <is>
          <t>Sofia</t>
        </is>
      </c>
      <c r="C12" s="11" t="inlineStr">
        <is>
          <t>Torres</t>
        </is>
      </c>
      <c r="D12" s="12" t="n">
        <v>45</v>
      </c>
      <c r="E12" s="11" t="inlineStr">
        <is>
          <t>F</t>
        </is>
      </c>
      <c r="F12" s="11" t="inlineStr">
        <is>
          <t>Bogotá</t>
        </is>
      </c>
      <c r="G12" s="11" t="inlineStr">
        <is>
          <t>sofia.torres@empresa.com</t>
        </is>
      </c>
      <c r="H12" s="13" t="inlineStr">
        <is>
          <t>2017-09-01</t>
        </is>
      </c>
      <c r="I12" s="11" t="inlineStr">
        <is>
          <t>Operaciones</t>
        </is>
      </c>
      <c r="J12" s="11" t="inlineStr">
        <is>
          <t>Director de Operaciones</t>
        </is>
      </c>
      <c r="K12" s="11" t="inlineStr">
        <is>
          <t>Indefinido</t>
        </is>
      </c>
      <c r="L12" s="11" t="inlineStr">
        <is>
          <t>Presencial</t>
        </is>
      </c>
      <c r="M12" s="14" t="n">
        <v>12000000</v>
      </c>
      <c r="N12" s="14" t="n">
        <v>2000000</v>
      </c>
      <c r="O12" s="14" t="n">
        <v>0</v>
      </c>
      <c r="P12" s="14" t="n">
        <v>960000</v>
      </c>
      <c r="Q12" s="14" t="n">
        <v>14000000</v>
      </c>
      <c r="R12" s="14" t="n">
        <v>13040000</v>
      </c>
      <c r="S12" s="12" t="n">
        <v>18</v>
      </c>
      <c r="T12" s="11" t="inlineStr">
        <is>
          <t>Maestría</t>
        </is>
      </c>
      <c r="U12" s="12" t="n">
        <v>25</v>
      </c>
      <c r="V12" s="15" t="n">
        <v>4.7</v>
      </c>
    </row>
    <row r="13">
      <c r="A13" s="4" t="inlineStr">
        <is>
          <t>EMP-109</t>
        </is>
      </c>
      <c r="B13" s="5" t="inlineStr">
        <is>
          <t>Mateo</t>
        </is>
      </c>
      <c r="C13" s="5" t="inlineStr">
        <is>
          <t>Flores</t>
        </is>
      </c>
      <c r="D13" s="6" t="n">
        <v>27</v>
      </c>
      <c r="E13" s="5" t="inlineStr">
        <is>
          <t>M</t>
        </is>
      </c>
      <c r="F13" s="5" t="inlineStr">
        <is>
          <t>Cali</t>
        </is>
      </c>
      <c r="G13" s="5" t="inlineStr">
        <is>
          <t>mateo.flores@empresa.com</t>
        </is>
      </c>
      <c r="H13" s="7" t="inlineStr">
        <is>
          <t>2022-02-14</t>
        </is>
      </c>
      <c r="I13" s="5" t="inlineStr">
        <is>
          <t>Marketing</t>
        </is>
      </c>
      <c r="J13" s="5" t="inlineStr">
        <is>
          <t>Analista Digital</t>
        </is>
      </c>
      <c r="K13" s="5" t="inlineStr">
        <is>
          <t>Termino Fijo</t>
        </is>
      </c>
      <c r="L13" s="5" t="inlineStr">
        <is>
          <t>Remoto</t>
        </is>
      </c>
      <c r="M13" s="8" t="n">
        <v>3500000</v>
      </c>
      <c r="N13" s="8" t="n">
        <v>350000</v>
      </c>
      <c r="O13" s="8" t="n">
        <v>160000</v>
      </c>
      <c r="P13" s="8" t="n">
        <v>280000</v>
      </c>
      <c r="Q13" s="8" t="n">
        <v>4010000</v>
      </c>
      <c r="R13" s="8" t="n">
        <v>3730000</v>
      </c>
      <c r="S13" s="6" t="n">
        <v>4</v>
      </c>
      <c r="T13" s="5" t="inlineStr">
        <is>
          <t>Profesional</t>
        </is>
      </c>
      <c r="U13" s="6" t="n">
        <v>4</v>
      </c>
      <c r="V13" s="9" t="n">
        <v>4</v>
      </c>
    </row>
    <row r="14">
      <c r="A14" s="10" t="inlineStr">
        <is>
          <t>EMP-110</t>
        </is>
      </c>
      <c r="B14" s="11" t="inlineStr">
        <is>
          <t>Valentina</t>
        </is>
      </c>
      <c r="C14" s="11" t="inlineStr">
        <is>
          <t>Diaz</t>
        </is>
      </c>
      <c r="D14" s="12" t="n">
        <v>33</v>
      </c>
      <c r="E14" s="11" t="inlineStr">
        <is>
          <t>F</t>
        </is>
      </c>
      <c r="F14" s="11" t="inlineStr">
        <is>
          <t>Cartagena</t>
        </is>
      </c>
      <c r="G14" s="11" t="inlineStr">
        <is>
          <t>valentina.diaz@empresa.com</t>
        </is>
      </c>
      <c r="H14" s="13" t="inlineStr">
        <is>
          <t>2021-09-01</t>
        </is>
      </c>
      <c r="I14" s="11" t="inlineStr">
        <is>
          <t>Tecnología</t>
        </is>
      </c>
      <c r="J14" s="11" t="inlineStr">
        <is>
          <t>Desarrollador Junior</t>
        </is>
      </c>
      <c r="K14" s="11" t="inlineStr">
        <is>
          <t>Indefinido</t>
        </is>
      </c>
      <c r="L14" s="11" t="inlineStr">
        <is>
          <t>Híbrido</t>
        </is>
      </c>
      <c r="M14" s="14" t="n">
        <v>2800000</v>
      </c>
      <c r="N14" s="14" t="n">
        <v>200000</v>
      </c>
      <c r="O14" s="14" t="n">
        <v>160000</v>
      </c>
      <c r="P14" s="14" t="n">
        <v>224000</v>
      </c>
      <c r="Q14" s="14" t="n">
        <v>3160000</v>
      </c>
      <c r="R14" s="14" t="n">
        <v>2936000</v>
      </c>
      <c r="S14" s="12" t="n">
        <v>2</v>
      </c>
      <c r="T14" s="11" t="inlineStr">
        <is>
          <t>Técnico</t>
        </is>
      </c>
      <c r="U14" s="12" t="n">
        <v>3</v>
      </c>
      <c r="V14" s="15" t="n">
        <v>3.8</v>
      </c>
    </row>
    <row r="15">
      <c r="A15" s="4" t="inlineStr">
        <is>
          <t>EMP-111</t>
        </is>
      </c>
      <c r="B15" s="5" t="inlineStr">
        <is>
          <t>Andres</t>
        </is>
      </c>
      <c r="C15" s="5" t="inlineStr">
        <is>
          <t>Vargas</t>
        </is>
      </c>
      <c r="D15" s="6" t="n">
        <v>36</v>
      </c>
      <c r="E15" s="5" t="inlineStr">
        <is>
          <t>M</t>
        </is>
      </c>
      <c r="F15" s="5" t="inlineStr">
        <is>
          <t>Bogotá</t>
        </is>
      </c>
      <c r="G15" s="5" t="inlineStr">
        <is>
          <t>andres.vargas@empresa.com</t>
        </is>
      </c>
      <c r="H15" s="7" t="inlineStr">
        <is>
          <t>2019-11-15</t>
        </is>
      </c>
      <c r="I15" s="5" t="inlineStr">
        <is>
          <t>Finanzas</t>
        </is>
      </c>
      <c r="J15" s="5" t="inlineStr">
        <is>
          <t>Contador Senior</t>
        </is>
      </c>
      <c r="K15" s="5" t="inlineStr">
        <is>
          <t>Indefinido</t>
        </is>
      </c>
      <c r="L15" s="5" t="inlineStr">
        <is>
          <t>Híbrido</t>
        </is>
      </c>
      <c r="M15" s="8" t="n">
        <v>5800000</v>
      </c>
      <c r="N15" s="8" t="n">
        <v>600000</v>
      </c>
      <c r="O15" s="8" t="n">
        <v>200000</v>
      </c>
      <c r="P15" s="8" t="n">
        <v>464000</v>
      </c>
      <c r="Q15" s="8" t="n">
        <v>6600000</v>
      </c>
      <c r="R15" s="8" t="n">
        <v>6136000</v>
      </c>
      <c r="S15" s="6" t="n">
        <v>11</v>
      </c>
      <c r="T15" s="5" t="inlineStr">
        <is>
          <t>Especialización</t>
        </is>
      </c>
      <c r="U15" s="6" t="n">
        <v>14</v>
      </c>
      <c r="V15" s="9" t="n">
        <v>4.6</v>
      </c>
    </row>
    <row r="16">
      <c r="A16" s="10" t="inlineStr">
        <is>
          <t>EMP-112</t>
        </is>
      </c>
      <c r="B16" s="11" t="inlineStr">
        <is>
          <t>Camila</t>
        </is>
      </c>
      <c r="C16" s="11" t="inlineStr">
        <is>
          <t>Castro</t>
        </is>
      </c>
      <c r="D16" s="12" t="n">
        <v>24</v>
      </c>
      <c r="E16" s="11" t="inlineStr">
        <is>
          <t>F</t>
        </is>
      </c>
      <c r="F16" s="11" t="inlineStr">
        <is>
          <t>Medellín</t>
        </is>
      </c>
      <c r="G16" s="11" t="inlineStr">
        <is>
          <t>camila.castro@empresa.com</t>
        </is>
      </c>
      <c r="H16" s="13" t="inlineStr">
        <is>
          <t>2023-01-10</t>
        </is>
      </c>
      <c r="I16" s="11" t="inlineStr">
        <is>
          <t>Ventas</t>
        </is>
      </c>
      <c r="J16" s="11" t="inlineStr">
        <is>
          <t>Representante de Ventas</t>
        </is>
      </c>
      <c r="K16" s="11" t="inlineStr">
        <is>
          <t>Termino Fijo</t>
        </is>
      </c>
      <c r="L16" s="11" t="inlineStr">
        <is>
          <t>Presencial</t>
        </is>
      </c>
      <c r="M16" s="14" t="n">
        <v>2900000</v>
      </c>
      <c r="N16" s="14" t="n">
        <v>850000</v>
      </c>
      <c r="O16" s="14" t="n">
        <v>160000</v>
      </c>
      <c r="P16" s="14" t="n">
        <v>232000</v>
      </c>
      <c r="Q16" s="14" t="n">
        <v>3910000</v>
      </c>
      <c r="R16" s="14" t="n">
        <v>3678000</v>
      </c>
      <c r="S16" s="12" t="n">
        <v>2</v>
      </c>
      <c r="T16" s="11" t="inlineStr">
        <is>
          <t>Técnico</t>
        </is>
      </c>
      <c r="U16" s="12" t="n">
        <v>6</v>
      </c>
      <c r="V16" s="15" t="n">
        <v>3.7</v>
      </c>
    </row>
    <row r="17">
      <c r="A17" s="4" t="inlineStr">
        <is>
          <t>EMP-113</t>
        </is>
      </c>
      <c r="B17" s="5" t="inlineStr">
        <is>
          <t>Daniel</t>
        </is>
      </c>
      <c r="C17" s="5" t="inlineStr">
        <is>
          <t>Morales</t>
        </is>
      </c>
      <c r="D17" s="6" t="n">
        <v>42</v>
      </c>
      <c r="E17" s="5" t="inlineStr">
        <is>
          <t>M</t>
        </is>
      </c>
      <c r="F17" s="5" t="inlineStr">
        <is>
          <t>Cali</t>
        </is>
      </c>
      <c r="G17" s="5" t="inlineStr">
        <is>
          <t>daniel.morales@empresa.com</t>
        </is>
      </c>
      <c r="H17" s="7" t="inlineStr">
        <is>
          <t>2018-05-22</t>
        </is>
      </c>
      <c r="I17" s="5" t="inlineStr">
        <is>
          <t>Operaciones</t>
        </is>
      </c>
      <c r="J17" s="5" t="inlineStr">
        <is>
          <t>Supervisor de Planta</t>
        </is>
      </c>
      <c r="K17" s="5" t="inlineStr">
        <is>
          <t>Indefinido</t>
        </is>
      </c>
      <c r="L17" s="5" t="inlineStr">
        <is>
          <t>Presencial</t>
        </is>
      </c>
      <c r="M17" s="8" t="n">
        <v>5200000</v>
      </c>
      <c r="N17" s="8" t="n">
        <v>550000</v>
      </c>
      <c r="O17" s="8" t="n">
        <v>200000</v>
      </c>
      <c r="P17" s="8" t="n">
        <v>416000</v>
      </c>
      <c r="Q17" s="8" t="n">
        <v>5950000</v>
      </c>
      <c r="R17" s="8" t="n">
        <v>5534000</v>
      </c>
      <c r="S17" s="6" t="n">
        <v>14</v>
      </c>
      <c r="T17" s="5" t="inlineStr">
        <is>
          <t>Profesional</t>
        </is>
      </c>
      <c r="U17" s="6" t="n">
        <v>16</v>
      </c>
      <c r="V17" s="9" t="n">
        <v>4.3</v>
      </c>
    </row>
    <row r="18">
      <c r="A18" s="10" t="inlineStr">
        <is>
          <t>EMP-114</t>
        </is>
      </c>
      <c r="B18" s="11" t="inlineStr">
        <is>
          <t>Mariana</t>
        </is>
      </c>
      <c r="C18" s="11" t="inlineStr">
        <is>
          <t>Herrera</t>
        </is>
      </c>
      <c r="D18" s="12" t="n">
        <v>30</v>
      </c>
      <c r="E18" s="11" t="inlineStr">
        <is>
          <t>F</t>
        </is>
      </c>
      <c r="F18" s="11" t="inlineStr">
        <is>
          <t>Bogotá</t>
        </is>
      </c>
      <c r="G18" s="11" t="inlineStr">
        <is>
          <t>mariana.herrera@empresa.com</t>
        </is>
      </c>
      <c r="H18" s="13" t="inlineStr">
        <is>
          <t>2021-06-01</t>
        </is>
      </c>
      <c r="I18" s="11" t="inlineStr">
        <is>
          <t>Tecnología</t>
        </is>
      </c>
      <c r="J18" s="11" t="inlineStr">
        <is>
          <t>UI/UX Designer</t>
        </is>
      </c>
      <c r="K18" s="11" t="inlineStr">
        <is>
          <t>Indefinido</t>
        </is>
      </c>
      <c r="L18" s="11" t="inlineStr">
        <is>
          <t>Remoto</t>
        </is>
      </c>
      <c r="M18" s="14" t="n">
        <v>4500000</v>
      </c>
      <c r="N18" s="14" t="n">
        <v>450000</v>
      </c>
      <c r="O18" s="14" t="n">
        <v>200000</v>
      </c>
      <c r="P18" s="14" t="n">
        <v>360000</v>
      </c>
      <c r="Q18" s="14" t="n">
        <v>5150000</v>
      </c>
      <c r="R18" s="14" t="n">
        <v>4790000</v>
      </c>
      <c r="S18" s="12" t="n">
        <v>5</v>
      </c>
      <c r="T18" s="11" t="inlineStr">
        <is>
          <t>Profesional</t>
        </is>
      </c>
      <c r="U18" s="12" t="n">
        <v>9</v>
      </c>
      <c r="V18" s="15" t="n">
        <v>4.5</v>
      </c>
    </row>
    <row r="19">
      <c r="A19" s="4" t="inlineStr">
        <is>
          <t>EMP-115</t>
        </is>
      </c>
      <c r="B19" s="5" t="inlineStr">
        <is>
          <t>Gabriel</t>
        </is>
      </c>
      <c r="C19" s="5" t="inlineStr">
        <is>
          <t>Rios</t>
        </is>
      </c>
      <c r="D19" s="6" t="n">
        <v>38</v>
      </c>
      <c r="E19" s="5" t="inlineStr">
        <is>
          <t>M</t>
        </is>
      </c>
      <c r="F19" s="5" t="inlineStr">
        <is>
          <t>Barranquilla</t>
        </is>
      </c>
      <c r="G19" s="5" t="inlineStr">
        <is>
          <t>gabriel.rios@empresa.com</t>
        </is>
      </c>
      <c r="H19" s="7" t="inlineStr">
        <is>
          <t>2020-02-01</t>
        </is>
      </c>
      <c r="I19" s="5" t="inlineStr">
        <is>
          <t>Recursos Humanos</t>
        </is>
      </c>
      <c r="J19" s="5" t="inlineStr">
        <is>
          <t>Analista de Selección</t>
        </is>
      </c>
      <c r="K19" s="5" t="inlineStr">
        <is>
          <t>Indefinido</t>
        </is>
      </c>
      <c r="L19" s="5" t="inlineStr">
        <is>
          <t>Híbrido</t>
        </is>
      </c>
      <c r="M19" s="8" t="n">
        <v>3600000</v>
      </c>
      <c r="N19" s="8" t="n">
        <v>300000</v>
      </c>
      <c r="O19" s="8" t="n">
        <v>200000</v>
      </c>
      <c r="P19" s="8" t="n">
        <v>288000</v>
      </c>
      <c r="Q19" s="8" t="n">
        <v>4100000</v>
      </c>
      <c r="R19" s="8" t="n">
        <v>3812000</v>
      </c>
      <c r="S19" s="6" t="n">
        <v>7</v>
      </c>
      <c r="T19" s="5" t="inlineStr">
        <is>
          <t>Profesional</t>
        </is>
      </c>
      <c r="U19" s="6" t="n">
        <v>8</v>
      </c>
      <c r="V19" s="9" t="n">
        <v>4</v>
      </c>
    </row>
    <row r="20">
      <c r="A20" s="10" t="inlineStr">
        <is>
          <t>EMP-116</t>
        </is>
      </c>
      <c r="B20" s="11" t="inlineStr">
        <is>
          <t>Isabella</t>
        </is>
      </c>
      <c r="C20" s="11" t="inlineStr">
        <is>
          <t>Mendoza</t>
        </is>
      </c>
      <c r="D20" s="12" t="n">
        <v>26</v>
      </c>
      <c r="E20" s="11" t="inlineStr">
        <is>
          <t>F</t>
        </is>
      </c>
      <c r="F20" s="11" t="inlineStr">
        <is>
          <t>Medellín</t>
        </is>
      </c>
      <c r="G20" s="11" t="inlineStr">
        <is>
          <t>isabella.mendoza@empresa.com</t>
        </is>
      </c>
      <c r="H20" s="13" t="inlineStr">
        <is>
          <t>2022-11-01</t>
        </is>
      </c>
      <c r="I20" s="11" t="inlineStr">
        <is>
          <t>Marketing</t>
        </is>
      </c>
      <c r="J20" s="11" t="inlineStr">
        <is>
          <t>Community Manager</t>
        </is>
      </c>
      <c r="K20" s="11" t="inlineStr">
        <is>
          <t>Termino Fijo</t>
        </is>
      </c>
      <c r="L20" s="11" t="inlineStr">
        <is>
          <t>Remoto</t>
        </is>
      </c>
      <c r="M20" s="14" t="n">
        <v>2700000</v>
      </c>
      <c r="N20" s="14" t="n">
        <v>250000</v>
      </c>
      <c r="O20" s="14" t="n">
        <v>160000</v>
      </c>
      <c r="P20" s="14" t="n">
        <v>216000</v>
      </c>
      <c r="Q20" s="14" t="n">
        <v>3110000</v>
      </c>
      <c r="R20" s="14" t="n">
        <v>2894000</v>
      </c>
      <c r="S20" s="12" t="n">
        <v>3</v>
      </c>
      <c r="T20" s="11" t="inlineStr">
        <is>
          <t>Profesional</t>
        </is>
      </c>
      <c r="U20" s="12" t="n">
        <v>4</v>
      </c>
      <c r="V20" s="15" t="n">
        <v>3.9</v>
      </c>
    </row>
    <row r="21">
      <c r="A21" s="4" t="inlineStr">
        <is>
          <t>EMP-117</t>
        </is>
      </c>
      <c r="B21" s="5" t="inlineStr">
        <is>
          <t>Javier</t>
        </is>
      </c>
      <c r="C21" s="5" t="inlineStr">
        <is>
          <t>Espinoza</t>
        </is>
      </c>
      <c r="D21" s="6" t="n">
        <v>48</v>
      </c>
      <c r="E21" s="5" t="inlineStr">
        <is>
          <t>M</t>
        </is>
      </c>
      <c r="F21" s="5" t="inlineStr">
        <is>
          <t>Bogotá</t>
        </is>
      </c>
      <c r="G21" s="5" t="inlineStr">
        <is>
          <t>javier.espinoza@empresa.com</t>
        </is>
      </c>
      <c r="H21" s="7" t="inlineStr">
        <is>
          <t>2016-04-15</t>
        </is>
      </c>
      <c r="I21" s="5" t="inlineStr">
        <is>
          <t>Operaciones</t>
        </is>
      </c>
      <c r="J21" s="5" t="inlineStr">
        <is>
          <t>Gerente de Logística</t>
        </is>
      </c>
      <c r="K21" s="5" t="inlineStr">
        <is>
          <t>Indefinido</t>
        </is>
      </c>
      <c r="L21" s="5" t="inlineStr">
        <is>
          <t>Presencial</t>
        </is>
      </c>
      <c r="M21" s="8" t="n">
        <v>11000000</v>
      </c>
      <c r="N21" s="8" t="n">
        <v>1800000</v>
      </c>
      <c r="O21" s="8" t="n">
        <v>0</v>
      </c>
      <c r="P21" s="8" t="n">
        <v>880000</v>
      </c>
      <c r="Q21" s="8" t="n">
        <v>12800000</v>
      </c>
      <c r="R21" s="8" t="n">
        <v>11920000</v>
      </c>
      <c r="S21" s="6" t="n">
        <v>20</v>
      </c>
      <c r="T21" s="5" t="inlineStr">
        <is>
          <t>Maestría</t>
        </is>
      </c>
      <c r="U21" s="6" t="n">
        <v>22</v>
      </c>
      <c r="V21" s="9" t="n">
        <v>4.8</v>
      </c>
    </row>
    <row r="22">
      <c r="A22" s="10" t="inlineStr">
        <is>
          <t>EMP-118</t>
        </is>
      </c>
      <c r="B22" s="11" t="inlineStr">
        <is>
          <t>Lucia</t>
        </is>
      </c>
      <c r="C22" s="11" t="inlineStr">
        <is>
          <t>Arias</t>
        </is>
      </c>
      <c r="D22" s="12" t="n">
        <v>32</v>
      </c>
      <c r="E22" s="11" t="inlineStr">
        <is>
          <t>F</t>
        </is>
      </c>
      <c r="F22" s="11" t="inlineStr">
        <is>
          <t>Cali</t>
        </is>
      </c>
      <c r="G22" s="11" t="inlineStr">
        <is>
          <t>lucia.arias@empresa.com</t>
        </is>
      </c>
      <c r="H22" s="13" t="inlineStr">
        <is>
          <t>2021-04-01</t>
        </is>
      </c>
      <c r="I22" s="11" t="inlineStr">
        <is>
          <t>Ventas</t>
        </is>
      </c>
      <c r="J22" s="11" t="inlineStr">
        <is>
          <t>Ejecutivo Account</t>
        </is>
      </c>
      <c r="K22" s="11" t="inlineStr">
        <is>
          <t>Indefinido</t>
        </is>
      </c>
      <c r="L22" s="11" t="inlineStr">
        <is>
          <t>Presencial</t>
        </is>
      </c>
      <c r="M22" s="14" t="n">
        <v>4300000</v>
      </c>
      <c r="N22" s="14" t="n">
        <v>750000</v>
      </c>
      <c r="O22" s="14" t="n">
        <v>200000</v>
      </c>
      <c r="P22" s="14" t="n">
        <v>344000</v>
      </c>
      <c r="Q22" s="14" t="n">
        <v>5250000</v>
      </c>
      <c r="R22" s="14" t="n">
        <v>4906000</v>
      </c>
      <c r="S22" s="12" t="n">
        <v>8</v>
      </c>
      <c r="T22" s="11" t="inlineStr">
        <is>
          <t>Profesional</t>
        </is>
      </c>
      <c r="U22" s="12" t="n">
        <v>11</v>
      </c>
      <c r="V22" s="15" t="n">
        <v>4.2</v>
      </c>
    </row>
    <row r="23">
      <c r="A23" s="4" t="inlineStr">
        <is>
          <t>EMP-119</t>
        </is>
      </c>
      <c r="B23" s="5" t="inlineStr">
        <is>
          <t>Fernando</t>
        </is>
      </c>
      <c r="C23" s="5" t="inlineStr">
        <is>
          <t>Navarro</t>
        </is>
      </c>
      <c r="D23" s="6" t="n">
        <v>35</v>
      </c>
      <c r="E23" s="5" t="inlineStr">
        <is>
          <t>M</t>
        </is>
      </c>
      <c r="F23" s="5" t="inlineStr">
        <is>
          <t>Bucaramanga</t>
        </is>
      </c>
      <c r="G23" s="5" t="inlineStr">
        <is>
          <t>fernando.navarro@empresa.com</t>
        </is>
      </c>
      <c r="H23" s="7" t="inlineStr">
        <is>
          <t>2019-08-12</t>
        </is>
      </c>
      <c r="I23" s="5" t="inlineStr">
        <is>
          <t>Tecnología</t>
        </is>
      </c>
      <c r="J23" s="5" t="inlineStr">
        <is>
          <t>DevOps Engineer</t>
        </is>
      </c>
      <c r="K23" s="5" t="inlineStr">
        <is>
          <t>Indefinido</t>
        </is>
      </c>
      <c r="L23" s="5" t="inlineStr">
        <is>
          <t>Remoto</t>
        </is>
      </c>
      <c r="M23" s="8" t="n">
        <v>8200000</v>
      </c>
      <c r="N23" s="8" t="n">
        <v>1100000</v>
      </c>
      <c r="O23" s="8" t="n">
        <v>200000</v>
      </c>
      <c r="P23" s="8" t="n">
        <v>656000</v>
      </c>
      <c r="Q23" s="8" t="n">
        <v>9500000</v>
      </c>
      <c r="R23" s="8" t="n">
        <v>8844000</v>
      </c>
      <c r="S23" s="6" t="n">
        <v>9</v>
      </c>
      <c r="T23" s="5" t="inlineStr">
        <is>
          <t>Profesional</t>
        </is>
      </c>
      <c r="U23" s="6" t="n">
        <v>13</v>
      </c>
      <c r="V23" s="9" t="n">
        <v>4.7</v>
      </c>
    </row>
    <row r="24">
      <c r="A24" s="10" t="inlineStr">
        <is>
          <t>EMP-120</t>
        </is>
      </c>
      <c r="B24" s="11" t="inlineStr">
        <is>
          <t>Elena</t>
        </is>
      </c>
      <c r="C24" s="11" t="inlineStr">
        <is>
          <t>Rojas</t>
        </is>
      </c>
      <c r="D24" s="12" t="n">
        <v>29</v>
      </c>
      <c r="E24" s="11" t="inlineStr">
        <is>
          <t>F</t>
        </is>
      </c>
      <c r="F24" s="11" t="inlineStr">
        <is>
          <t>Bogotá</t>
        </is>
      </c>
      <c r="G24" s="11" t="inlineStr">
        <is>
          <t>elena.rojas@empresa.com</t>
        </is>
      </c>
      <c r="H24" s="13" t="inlineStr">
        <is>
          <t>2022-05-18</t>
        </is>
      </c>
      <c r="I24" s="11" t="inlineStr">
        <is>
          <t>Finanzas</t>
        </is>
      </c>
      <c r="J24" s="11" t="inlineStr">
        <is>
          <t>Auditor Interno</t>
        </is>
      </c>
      <c r="K24" s="11" t="inlineStr">
        <is>
          <t>Termino Fijo</t>
        </is>
      </c>
      <c r="L24" s="11" t="inlineStr">
        <is>
          <t>Híbrido</t>
        </is>
      </c>
      <c r="M24" s="14" t="n">
        <v>4900000</v>
      </c>
      <c r="N24" s="14" t="n">
        <v>500000</v>
      </c>
      <c r="O24" s="14" t="n">
        <v>200000</v>
      </c>
      <c r="P24" s="14" t="n">
        <v>392000</v>
      </c>
      <c r="Q24" s="14" t="n">
        <v>5600000</v>
      </c>
      <c r="R24" s="14" t="n">
        <v>5208000</v>
      </c>
      <c r="S24" s="12" t="n">
        <v>6</v>
      </c>
      <c r="T24" s="11" t="inlineStr">
        <is>
          <t>Especialización</t>
        </is>
      </c>
      <c r="U24" s="12" t="n">
        <v>9</v>
      </c>
      <c r="V24" s="15" t="n">
        <v>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51" customWidth="1" min="3" max="3"/>
  </cols>
  <sheetData>
    <row r="1">
      <c r="A1" s="1" t="inlineStr">
        <is>
          <t>Dashboard &amp; Indicadores Clave de Recursos Humanos</t>
        </is>
      </c>
    </row>
    <row r="2">
      <c r="A2" s="2" t="inlineStr">
        <is>
          <t>Consolidado de KPIs del Personal y Métricas Financieras</t>
        </is>
      </c>
    </row>
    <row r="3"/>
    <row r="4">
      <c r="A4" s="16" t="inlineStr">
        <is>
          <t>Métrica / KPI</t>
        </is>
      </c>
      <c r="B4" s="16" t="inlineStr">
        <is>
          <t>Valor Consolidado</t>
        </is>
      </c>
      <c r="C4" s="16" t="inlineStr">
        <is>
          <t>Descripción</t>
        </is>
      </c>
    </row>
    <row r="5">
      <c r="A5" s="17" t="inlineStr">
        <is>
          <t>Total Empleados</t>
        </is>
      </c>
      <c r="B5" s="18">
        <f>COUNTA(Dataset_Consolidado!A5:A24)</f>
        <v/>
      </c>
      <c r="C5" s="19" t="inlineStr">
        <is>
          <t>Total de colboradores activos</t>
        </is>
      </c>
    </row>
    <row r="6">
      <c r="A6" s="17" t="inlineStr">
        <is>
          <t>Masa Salarial Base Total</t>
        </is>
      </c>
      <c r="B6" s="20">
        <f>SUM(Dataset_Consolidado!L5:L24)</f>
        <v/>
      </c>
      <c r="C6" s="19" t="inlineStr">
        <is>
          <t>Suma total de salarios base mensuales</t>
        </is>
      </c>
    </row>
    <row r="7">
      <c r="A7" s="17" t="inlineStr">
        <is>
          <t>Nómina Total Nivel Neto</t>
        </is>
      </c>
      <c r="B7" s="20">
        <f>SUM(Dataset_Consolidado!Q5:Q24)</f>
        <v/>
      </c>
      <c r="C7" s="19" t="inlineStr">
        <is>
          <t>Total neto pagado a colaboradores</t>
        </is>
      </c>
    </row>
    <row r="8">
      <c r="A8" s="17" t="inlineStr">
        <is>
          <t>Salario Promedio</t>
        </is>
      </c>
      <c r="B8" s="20">
        <f>AVERAGE(Dataset_Consolidado!L5:L24)</f>
        <v/>
      </c>
      <c r="C8" s="19" t="inlineStr">
        <is>
          <t>Promedio de ingreso base por empleado</t>
        </is>
      </c>
    </row>
    <row r="9">
      <c r="A9" s="17" t="inlineStr">
        <is>
          <t>Edad Promedio</t>
        </is>
      </c>
      <c r="B9" s="21">
        <f>AVERAGE(Dataset_Consolidado!D5:D24)</f>
        <v/>
      </c>
      <c r="C9" s="19" t="inlineStr">
        <is>
          <t>Promedio de edad de la fuerza laboral</t>
        </is>
      </c>
    </row>
    <row r="10">
      <c r="A10" s="17" t="inlineStr">
        <is>
          <t>Años de Experiencia Promedio</t>
        </is>
      </c>
      <c r="B10" s="21">
        <f>AVERAGE(Dataset_Consolidado!R5:R24)</f>
        <v/>
      </c>
      <c r="C10" s="19" t="inlineStr">
        <is>
          <t>Experiencia laboral acumulada promedio</t>
        </is>
      </c>
    </row>
    <row r="11">
      <c r="A11" s="17" t="inlineStr">
        <is>
          <t>Desempeño Promedio</t>
        </is>
      </c>
      <c r="B11" s="22">
        <f>AVERAGE(Dataset_Consolidado!U5:U24)</f>
        <v/>
      </c>
      <c r="C11" s="19" t="inlineStr">
        <is>
          <t>Calificación promedio de desempeño (1.0 - 5.0)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2026-09-08T14:43:06Z</dcterms:created>
  <dcterms:modified xmlns:dcterms="http://purl.org/dc/terms/" xmlns:xsi="http://www.w3.org/2001/XMLSchema-instance" xsi:type="dcterms:W3CDTF">2026-09-08T14:43:07Z</dcterms:modified>
</cp:coreProperties>
</file>